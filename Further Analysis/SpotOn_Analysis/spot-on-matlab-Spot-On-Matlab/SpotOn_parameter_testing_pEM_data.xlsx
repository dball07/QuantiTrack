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ghk2/Documents/MATLAB/Scripts/spot-on-matlab-Spot-On-Matlab/"/>
    </mc:Choice>
  </mc:AlternateContent>
  <xr:revisionPtr revIDLastSave="0" documentId="13_ncr:1_{8647141F-DEDA-6F43-A525-61F01D404363}" xr6:coauthVersionLast="47" xr6:coauthVersionMax="47" xr10:uidLastSave="{00000000-0000-0000-0000-000000000000}"/>
  <bookViews>
    <workbookView xWindow="5520" yWindow="8980" windowWidth="19000" windowHeight="16940" xr2:uid="{3BE7B7F4-8FF7-0C4E-83F2-8CA32388354B}"/>
  </bookViews>
  <sheets>
    <sheet name="3617_pHalo-H2B_u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1" l="1"/>
  <c r="AA22" i="1"/>
  <c r="AA21" i="1"/>
  <c r="AA20" i="1"/>
  <c r="AA18" i="1"/>
  <c r="AA17" i="1"/>
  <c r="AB14" i="1"/>
  <c r="AB13" i="1"/>
  <c r="AA12" i="1"/>
  <c r="AA8" i="1"/>
  <c r="AA11" i="1"/>
  <c r="N7" i="1"/>
  <c r="M7" i="1"/>
  <c r="AB4" i="1"/>
  <c r="N6" i="1"/>
  <c r="M6" i="1"/>
  <c r="N5" i="1"/>
  <c r="M5" i="1"/>
  <c r="M4" i="1"/>
  <c r="N4" i="1"/>
  <c r="AB3" i="1"/>
</calcChain>
</file>

<file path=xl/sharedStrings.xml><?xml version="1.0" encoding="utf-8"?>
<sst xmlns="http://schemas.openxmlformats.org/spreadsheetml/2006/main" count="136" uniqueCount="48">
  <si>
    <t>cell_protein</t>
  </si>
  <si>
    <t>condition</t>
  </si>
  <si>
    <t>classified_tracks</t>
  </si>
  <si>
    <t>dZ</t>
  </si>
  <si>
    <t>TimePoints</t>
  </si>
  <si>
    <t>UseEntireTraj</t>
  </si>
  <si>
    <t>ModelFit</t>
  </si>
  <si>
    <t>NumberOfStates</t>
  </si>
  <si>
    <t>FitIterations</t>
  </si>
  <si>
    <t>UseWeights</t>
  </si>
  <si>
    <t>D_free1_low</t>
  </si>
  <si>
    <t>D_free1_high</t>
  </si>
  <si>
    <t>D_free2_low</t>
  </si>
  <si>
    <t>D_free_2_high</t>
  </si>
  <si>
    <t>D_bound_low</t>
  </si>
  <si>
    <t>D_bound_high</t>
  </si>
  <si>
    <t>pEM_D_state1</t>
  </si>
  <si>
    <t>pEM_D_state2</t>
  </si>
  <si>
    <t>pEM_D_state3</t>
  </si>
  <si>
    <t>spotOn_D_bound</t>
  </si>
  <si>
    <t>spotOn_D_free2</t>
  </si>
  <si>
    <t>spotOn_D_free1</t>
  </si>
  <si>
    <t>F_bound</t>
  </si>
  <si>
    <t>F_free1</t>
  </si>
  <si>
    <t>F_free2</t>
  </si>
  <si>
    <t>3617_pHalo-H2B</t>
  </si>
  <si>
    <t>NT</t>
  </si>
  <si>
    <t>all</t>
  </si>
  <si>
    <t>spotOn_loc_err</t>
  </si>
  <si>
    <t>state 1 only</t>
  </si>
  <si>
    <t>D_bound_lims</t>
  </si>
  <si>
    <t>D_free2_lims</t>
  </si>
  <si>
    <t>D_free_1_lims</t>
  </si>
  <si>
    <t>pEM_D</t>
  </si>
  <si>
    <t>spotOn_D</t>
  </si>
  <si>
    <t>spotOn_popFrac</t>
  </si>
  <si>
    <t>loc_error</t>
  </si>
  <si>
    <t>state 2 only</t>
  </si>
  <si>
    <t>status</t>
  </si>
  <si>
    <t>done</t>
  </si>
  <si>
    <t>NA</t>
  </si>
  <si>
    <t>took very long to run</t>
  </si>
  <si>
    <t>3617_pHalo-GRwt</t>
  </si>
  <si>
    <t>Dex</t>
  </si>
  <si>
    <t>localization_error</t>
  </si>
  <si>
    <t>loc_err_state1</t>
  </si>
  <si>
    <t>loc_err_state2</t>
  </si>
  <si>
    <t>loc_err_state3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</si>
</sst>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8A61-FD7F-0A4F-9174-EF74D40F42D4}">
  <dimension ref="A1:AD23"/>
  <sheetViews>
    <sheetView tabSelected="1" topLeftCell="J1" zoomScaleNormal="100" workbookViewId="0">
      <selection activeCell="K21" sqref="K21"/>
    </sheetView>
  </sheetViews>
  <sheetFormatPr baseColWidth="10" defaultRowHeight="16" x14ac:dyDescent="0.2"/>
  <cols>
    <col min="1" max="1" width="14.83203125" bestFit="1" customWidth="1"/>
    <col min="3" max="3" width="16.1640625" customWidth="1"/>
    <col min="6" max="6" width="12.33203125" bestFit="1" customWidth="1"/>
    <col min="7" max="7" width="8.5" bestFit="1" customWidth="1"/>
    <col min="8" max="8" width="15" bestFit="1" customWidth="1"/>
    <col min="11" max="11" width="11.6640625" bestFit="1" customWidth="1"/>
    <col min="12" max="12" width="12.1640625" bestFit="1" customWidth="1"/>
    <col min="13" max="13" width="11.6640625" bestFit="1" customWidth="1"/>
    <col min="14" max="14" width="13.1640625" bestFit="1" customWidth="1"/>
    <col min="15" max="15" width="12.33203125" bestFit="1" customWidth="1"/>
    <col min="16" max="16" width="12.83203125" bestFit="1" customWidth="1"/>
    <col min="17" max="19" width="13.1640625" bestFit="1" customWidth="1"/>
    <col min="20" max="22" width="13.1640625" customWidth="1"/>
    <col min="23" max="23" width="15.1640625" bestFit="1" customWidth="1"/>
    <col min="24" max="25" width="14.5" bestFit="1" customWidth="1"/>
    <col min="26" max="26" width="8.1640625" bestFit="1" customWidth="1"/>
    <col min="29" max="29" width="13.6640625" bestFit="1" customWidth="1"/>
  </cols>
  <sheetData>
    <row r="1" spans="1:30" x14ac:dyDescent="0.2">
      <c r="K1" s="2" t="s">
        <v>32</v>
      </c>
      <c r="L1" s="2"/>
      <c r="M1" s="2" t="s">
        <v>31</v>
      </c>
      <c r="N1" s="2"/>
      <c r="O1" s="2" t="s">
        <v>30</v>
      </c>
      <c r="P1" s="2"/>
      <c r="Q1" s="2" t="s">
        <v>33</v>
      </c>
      <c r="R1" s="2"/>
      <c r="S1" s="2"/>
      <c r="T1" s="2" t="s">
        <v>44</v>
      </c>
      <c r="U1" s="2"/>
      <c r="V1" s="2"/>
      <c r="W1" s="2" t="s">
        <v>34</v>
      </c>
      <c r="X1" s="2"/>
      <c r="Y1" s="2"/>
      <c r="Z1" s="2" t="s">
        <v>35</v>
      </c>
      <c r="AA1" s="2"/>
      <c r="AB1" s="2"/>
      <c r="AC1" t="s">
        <v>36</v>
      </c>
      <c r="AD1" t="s">
        <v>38</v>
      </c>
    </row>
    <row r="2" spans="1:30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45</v>
      </c>
      <c r="U2" s="1" t="s">
        <v>46</v>
      </c>
      <c r="V2" s="1" t="s">
        <v>47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28</v>
      </c>
    </row>
    <row r="3" spans="1:30" x14ac:dyDescent="0.2">
      <c r="A3" t="s">
        <v>25</v>
      </c>
      <c r="B3" t="s">
        <v>26</v>
      </c>
      <c r="C3" t="s">
        <v>27</v>
      </c>
      <c r="D3">
        <v>0.7</v>
      </c>
      <c r="E3">
        <v>5</v>
      </c>
      <c r="F3">
        <v>0</v>
      </c>
      <c r="G3">
        <v>2</v>
      </c>
      <c r="H3">
        <v>3</v>
      </c>
      <c r="I3">
        <v>3</v>
      </c>
      <c r="J3">
        <v>1</v>
      </c>
      <c r="K3">
        <v>0.01</v>
      </c>
      <c r="L3">
        <v>0.05</v>
      </c>
      <c r="M3">
        <v>6.9999999999999999E-4</v>
      </c>
      <c r="N3">
        <v>8.0000000000000002E-3</v>
      </c>
      <c r="O3">
        <v>6.9999999999999999E-4</v>
      </c>
      <c r="P3">
        <v>8.0000000000000002E-3</v>
      </c>
      <c r="Q3">
        <v>1.4623298203276819E-3</v>
      </c>
      <c r="R3">
        <v>3.7346767398210054E-3</v>
      </c>
      <c r="S3">
        <v>1.1047267877779465E-2</v>
      </c>
      <c r="W3">
        <v>6.9999999999999999E-4</v>
      </c>
      <c r="X3">
        <v>6.4194999999999999E-3</v>
      </c>
      <c r="Y3">
        <v>3.8827E-2</v>
      </c>
      <c r="Z3">
        <v>0.55842000000000003</v>
      </c>
      <c r="AA3">
        <v>6.0468000000000001E-2</v>
      </c>
      <c r="AB3">
        <f>1-AA3-Z3</f>
        <v>0.38111200000000001</v>
      </c>
      <c r="AC3">
        <v>2.8858000000000002E-2</v>
      </c>
      <c r="AD3" t="s">
        <v>39</v>
      </c>
    </row>
    <row r="4" spans="1:30" x14ac:dyDescent="0.2">
      <c r="C4" t="s">
        <v>29</v>
      </c>
      <c r="D4">
        <v>0.7</v>
      </c>
      <c r="E4">
        <v>7</v>
      </c>
      <c r="F4">
        <v>0</v>
      </c>
      <c r="G4">
        <v>2</v>
      </c>
      <c r="H4">
        <v>3</v>
      </c>
      <c r="I4">
        <v>3</v>
      </c>
      <c r="J4">
        <v>1</v>
      </c>
      <c r="K4">
        <v>0.01</v>
      </c>
      <c r="L4">
        <v>0.05</v>
      </c>
      <c r="M4">
        <f>0.5*(R4+Q4)</f>
        <v>2.5985032800743438E-3</v>
      </c>
      <c r="N4">
        <f>0.5*(R4+S4)</f>
        <v>7.3909723088002354E-3</v>
      </c>
      <c r="O4">
        <v>8.9999999999999998E-4</v>
      </c>
      <c r="P4">
        <v>2.5000000000000001E-3</v>
      </c>
      <c r="Q4">
        <v>1.4623298203276819E-3</v>
      </c>
      <c r="R4">
        <v>3.7346767398210054E-3</v>
      </c>
      <c r="S4">
        <v>1.1047267877779465E-2</v>
      </c>
      <c r="W4">
        <v>8.9999999999999998E-4</v>
      </c>
      <c r="X4">
        <v>2.5999999999999999E-3</v>
      </c>
      <c r="Y4">
        <v>0.05</v>
      </c>
      <c r="Z4">
        <v>1</v>
      </c>
      <c r="AA4" s="3">
        <v>4.9261999999999998E-9</v>
      </c>
      <c r="AB4">
        <f>1-AA4-Z4</f>
        <v>-4.9262000034744347E-9</v>
      </c>
      <c r="AC4">
        <v>2.1641000000000001E-2</v>
      </c>
      <c r="AD4" t="s">
        <v>41</v>
      </c>
    </row>
    <row r="5" spans="1:30" x14ac:dyDescent="0.2">
      <c r="C5" t="s">
        <v>37</v>
      </c>
      <c r="D5">
        <v>0.7</v>
      </c>
      <c r="E5">
        <v>7</v>
      </c>
      <c r="F5">
        <v>0</v>
      </c>
      <c r="G5">
        <v>2</v>
      </c>
      <c r="H5">
        <v>3</v>
      </c>
      <c r="I5">
        <v>3</v>
      </c>
      <c r="J5">
        <v>1</v>
      </c>
      <c r="K5">
        <v>0.01</v>
      </c>
      <c r="L5">
        <v>0.05</v>
      </c>
      <c r="M5">
        <f>0.5*(R5+Q5)</f>
        <v>2.5985032800743438E-3</v>
      </c>
      <c r="N5">
        <f>0.5*(R5+S5)</f>
        <v>7.3909723088002354E-3</v>
      </c>
      <c r="O5">
        <v>8.9999999999999998E-4</v>
      </c>
      <c r="P5">
        <v>2.5000000000000001E-3</v>
      </c>
      <c r="Q5">
        <v>1.4623298203276819E-3</v>
      </c>
      <c r="R5">
        <v>3.7346767398210054E-3</v>
      </c>
      <c r="S5">
        <v>1.1047267877779465E-2</v>
      </c>
    </row>
    <row r="6" spans="1:30" x14ac:dyDescent="0.2">
      <c r="C6" t="s">
        <v>37</v>
      </c>
      <c r="D6">
        <v>0.7</v>
      </c>
      <c r="E6">
        <v>4</v>
      </c>
      <c r="F6">
        <v>0</v>
      </c>
      <c r="G6">
        <v>2</v>
      </c>
      <c r="H6">
        <v>3</v>
      </c>
      <c r="I6">
        <v>3</v>
      </c>
      <c r="J6">
        <v>1</v>
      </c>
      <c r="K6">
        <v>0.01</v>
      </c>
      <c r="L6">
        <v>0.05</v>
      </c>
      <c r="M6">
        <f>0.5*(R6+Q6)</f>
        <v>2.5985032800743438E-3</v>
      </c>
      <c r="N6">
        <f>0.5*(R6+S6)</f>
        <v>7.3909723088002354E-3</v>
      </c>
      <c r="O6">
        <v>8.9999999999999998E-4</v>
      </c>
      <c r="P6">
        <v>2.5000000000000001E-3</v>
      </c>
      <c r="Q6">
        <v>1.4623298203276819E-3</v>
      </c>
      <c r="R6">
        <v>3.7346767398210054E-3</v>
      </c>
      <c r="S6">
        <v>1.1047267877779465E-2</v>
      </c>
      <c r="W6">
        <v>3.5677E-3</v>
      </c>
      <c r="X6">
        <v>2.5000000000000001E-3</v>
      </c>
      <c r="Y6">
        <v>0.01</v>
      </c>
      <c r="Z6">
        <v>1</v>
      </c>
      <c r="AA6">
        <v>0</v>
      </c>
      <c r="AB6">
        <v>0</v>
      </c>
      <c r="AC6">
        <v>4.3439999999999999E-2</v>
      </c>
      <c r="AD6" t="s">
        <v>39</v>
      </c>
    </row>
    <row r="7" spans="1:30" x14ac:dyDescent="0.2">
      <c r="C7" t="s">
        <v>29</v>
      </c>
      <c r="D7">
        <v>0.7</v>
      </c>
      <c r="E7">
        <v>4</v>
      </c>
      <c r="F7">
        <v>0</v>
      </c>
      <c r="G7">
        <v>2</v>
      </c>
      <c r="H7">
        <v>3</v>
      </c>
      <c r="I7">
        <v>3</v>
      </c>
      <c r="J7">
        <v>1</v>
      </c>
      <c r="K7">
        <v>0.01</v>
      </c>
      <c r="L7">
        <v>0.05</v>
      </c>
      <c r="M7">
        <f>0.5*(R7+Q7)</f>
        <v>2.5985032800743438E-3</v>
      </c>
      <c r="N7">
        <f>0.5*(R7+S7)</f>
        <v>7.3909723088002354E-3</v>
      </c>
      <c r="O7">
        <v>8.9999999999999998E-4</v>
      </c>
      <c r="P7">
        <v>2.5000000000000001E-3</v>
      </c>
      <c r="Q7">
        <v>1.4623298203276819E-3</v>
      </c>
      <c r="R7">
        <v>3.7346767398210054E-3</v>
      </c>
      <c r="S7">
        <v>1.1047267877779465E-2</v>
      </c>
      <c r="W7">
        <v>8.9999999999999998E-4</v>
      </c>
      <c r="X7">
        <v>2.5999999999999999E-3</v>
      </c>
      <c r="Y7">
        <v>4.9964000000000001E-2</v>
      </c>
      <c r="Z7">
        <v>1</v>
      </c>
      <c r="AA7">
        <v>0</v>
      </c>
      <c r="AB7">
        <v>0</v>
      </c>
      <c r="AC7">
        <v>2.2515E-2</v>
      </c>
      <c r="AD7" t="s">
        <v>39</v>
      </c>
    </row>
    <row r="8" spans="1:30" x14ac:dyDescent="0.2">
      <c r="C8" t="s">
        <v>29</v>
      </c>
      <c r="D8">
        <v>0.7</v>
      </c>
      <c r="E8">
        <v>4</v>
      </c>
      <c r="F8">
        <v>0</v>
      </c>
      <c r="G8">
        <v>2</v>
      </c>
      <c r="H8">
        <v>2</v>
      </c>
      <c r="I8">
        <v>3</v>
      </c>
      <c r="J8">
        <v>1</v>
      </c>
      <c r="K8">
        <v>0.01</v>
      </c>
      <c r="L8">
        <v>0.05</v>
      </c>
      <c r="M8" t="s">
        <v>40</v>
      </c>
      <c r="N8" t="s">
        <v>40</v>
      </c>
      <c r="O8">
        <v>1E-4</v>
      </c>
      <c r="P8">
        <v>2.5000000000000001E-3</v>
      </c>
      <c r="Q8">
        <v>1.4623298203276819E-3</v>
      </c>
      <c r="R8">
        <v>3.7346767398210054E-3</v>
      </c>
      <c r="S8">
        <v>1.1047267877779465E-2</v>
      </c>
      <c r="W8">
        <v>7.2725999999999997E-4</v>
      </c>
      <c r="X8" t="s">
        <v>40</v>
      </c>
      <c r="Y8">
        <v>0.01</v>
      </c>
      <c r="Z8">
        <v>0.99882000000000004</v>
      </c>
      <c r="AA8">
        <f>1-Z8</f>
        <v>1.1799999999999589E-3</v>
      </c>
      <c r="AB8" t="s">
        <v>40</v>
      </c>
      <c r="AC8">
        <v>2.3837000000000001E-2</v>
      </c>
      <c r="AD8" t="s">
        <v>39</v>
      </c>
    </row>
    <row r="9" spans="1:30" x14ac:dyDescent="0.2">
      <c r="C9" t="s">
        <v>37</v>
      </c>
      <c r="D9">
        <v>0.7</v>
      </c>
      <c r="E9">
        <v>4</v>
      </c>
      <c r="F9">
        <v>0</v>
      </c>
      <c r="G9">
        <v>2</v>
      </c>
      <c r="H9">
        <v>2</v>
      </c>
      <c r="I9">
        <v>3</v>
      </c>
      <c r="J9">
        <v>1</v>
      </c>
      <c r="K9">
        <v>0.01</v>
      </c>
      <c r="L9">
        <v>0.05</v>
      </c>
      <c r="M9" t="s">
        <v>40</v>
      </c>
      <c r="N9" t="s">
        <v>40</v>
      </c>
      <c r="O9">
        <v>1E-4</v>
      </c>
      <c r="P9">
        <v>7.0000000000000001E-3</v>
      </c>
      <c r="Q9">
        <v>1.4623298203276819E-3</v>
      </c>
      <c r="R9">
        <v>3.7346767398210054E-3</v>
      </c>
      <c r="S9">
        <v>1.1047267877779465E-2</v>
      </c>
      <c r="W9">
        <v>3.5677E-3</v>
      </c>
      <c r="X9" t="s">
        <v>40</v>
      </c>
      <c r="Y9">
        <v>0.01</v>
      </c>
      <c r="Z9">
        <v>1</v>
      </c>
      <c r="AA9" t="s">
        <v>40</v>
      </c>
      <c r="AB9">
        <v>0</v>
      </c>
      <c r="AC9">
        <v>4.3439999999999999E-2</v>
      </c>
      <c r="AD9" t="s">
        <v>39</v>
      </c>
    </row>
    <row r="11" spans="1:30" s="4" customFormat="1" x14ac:dyDescent="0.2">
      <c r="A11" s="4" t="s">
        <v>42</v>
      </c>
      <c r="B11" s="4" t="s">
        <v>43</v>
      </c>
      <c r="C11" s="4" t="s">
        <v>29</v>
      </c>
      <c r="D11" s="4">
        <v>0.7</v>
      </c>
      <c r="E11" s="4">
        <v>4</v>
      </c>
      <c r="F11" s="4">
        <v>0</v>
      </c>
      <c r="G11" s="4">
        <v>2</v>
      </c>
      <c r="H11" s="4">
        <v>2</v>
      </c>
      <c r="I11" s="4">
        <v>3</v>
      </c>
      <c r="J11" s="4">
        <v>1</v>
      </c>
      <c r="K11" s="4">
        <v>0.01</v>
      </c>
      <c r="L11" s="4">
        <v>0.05</v>
      </c>
      <c r="M11" s="4" t="s">
        <v>40</v>
      </c>
      <c r="N11" s="4" t="s">
        <v>40</v>
      </c>
      <c r="O11" s="4">
        <v>1E-4</v>
      </c>
      <c r="P11" s="4">
        <v>2.5000000000000001E-3</v>
      </c>
      <c r="Q11" s="4">
        <v>2.0332681561592209E-3</v>
      </c>
      <c r="R11" s="4">
        <v>4.784231928477458E-3</v>
      </c>
      <c r="S11" s="4">
        <v>1.5511289217590091E-2</v>
      </c>
      <c r="T11" s="4">
        <v>2.3322552018644208E-2</v>
      </c>
      <c r="U11" s="4">
        <v>4.220819632433364E-2</v>
      </c>
      <c r="V11" s="4">
        <v>7.5397142890709798E-2</v>
      </c>
      <c r="W11" s="4">
        <v>1.3316999999999999E-3</v>
      </c>
      <c r="X11" s="4" t="s">
        <v>40</v>
      </c>
      <c r="Y11" s="4">
        <v>0.01</v>
      </c>
      <c r="Z11" s="4">
        <v>0.98258000000000001</v>
      </c>
      <c r="AA11" s="4">
        <f>1-Z11</f>
        <v>1.7419999999999991E-2</v>
      </c>
      <c r="AB11" s="4" t="s">
        <v>40</v>
      </c>
      <c r="AC11" s="4">
        <v>2.2665000000000001E-2</v>
      </c>
      <c r="AD11" s="4" t="s">
        <v>39</v>
      </c>
    </row>
    <row r="12" spans="1:30" s="4" customFormat="1" x14ac:dyDescent="0.2">
      <c r="A12" s="4" t="s">
        <v>42</v>
      </c>
      <c r="B12" s="4" t="s">
        <v>43</v>
      </c>
      <c r="C12" s="4" t="s">
        <v>37</v>
      </c>
      <c r="D12" s="4">
        <v>0.7</v>
      </c>
      <c r="E12" s="4">
        <v>4</v>
      </c>
      <c r="F12" s="4">
        <v>0</v>
      </c>
      <c r="G12" s="4">
        <v>2</v>
      </c>
      <c r="H12" s="4">
        <v>2</v>
      </c>
      <c r="I12" s="4">
        <v>3</v>
      </c>
      <c r="J12" s="4">
        <v>1</v>
      </c>
      <c r="K12" s="4">
        <v>0.01</v>
      </c>
      <c r="L12" s="4">
        <v>0.05</v>
      </c>
      <c r="M12" s="4" t="s">
        <v>40</v>
      </c>
      <c r="N12" s="4" t="s">
        <v>40</v>
      </c>
      <c r="O12" s="4">
        <v>1E-4</v>
      </c>
      <c r="P12" s="4">
        <v>7.0000000000000001E-3</v>
      </c>
      <c r="Q12" s="4">
        <v>2.0332681561592209E-3</v>
      </c>
      <c r="R12" s="4">
        <v>4.784231928477458E-3</v>
      </c>
      <c r="S12" s="4">
        <v>1.5511289217590091E-2</v>
      </c>
      <c r="T12" s="4">
        <v>2.3322552018644208E-2</v>
      </c>
      <c r="U12" s="4">
        <v>4.220819632433364E-2</v>
      </c>
      <c r="V12" s="4">
        <v>7.5397142890709798E-2</v>
      </c>
      <c r="W12" s="4">
        <v>4.0232000000000002E-3</v>
      </c>
      <c r="X12" s="4" t="s">
        <v>40</v>
      </c>
      <c r="Y12" s="4">
        <v>0.01</v>
      </c>
      <c r="Z12" s="4">
        <v>0.89356999999999998</v>
      </c>
      <c r="AA12" s="4">
        <f>1-Z12</f>
        <v>0.10643000000000002</v>
      </c>
      <c r="AB12" s="4" t="s">
        <v>40</v>
      </c>
      <c r="AC12" s="4">
        <v>4.6210000000000001E-2</v>
      </c>
      <c r="AD12" s="4" t="s">
        <v>39</v>
      </c>
    </row>
    <row r="13" spans="1:30" x14ac:dyDescent="0.2">
      <c r="A13" t="s">
        <v>42</v>
      </c>
      <c r="B13" t="s">
        <v>43</v>
      </c>
      <c r="C13" t="s">
        <v>27</v>
      </c>
      <c r="D13">
        <v>0.7</v>
      </c>
      <c r="E13">
        <v>4</v>
      </c>
      <c r="F13">
        <v>0</v>
      </c>
      <c r="G13">
        <v>2</v>
      </c>
      <c r="H13">
        <v>3</v>
      </c>
      <c r="I13">
        <v>3</v>
      </c>
      <c r="J13">
        <v>1</v>
      </c>
      <c r="K13">
        <v>0.01</v>
      </c>
      <c r="L13">
        <v>0.1</v>
      </c>
      <c r="M13">
        <v>3.0000000000000001E-3</v>
      </c>
      <c r="N13">
        <v>7.0000000000000001E-3</v>
      </c>
      <c r="O13">
        <v>1E-4</v>
      </c>
      <c r="P13">
        <v>3.0000000000000001E-3</v>
      </c>
      <c r="Q13">
        <v>2.0332681561592209E-3</v>
      </c>
      <c r="R13">
        <v>4.784231928477458E-3</v>
      </c>
      <c r="S13">
        <v>1.5511289217590091E-2</v>
      </c>
      <c r="T13">
        <v>2.3322552018644208E-2</v>
      </c>
      <c r="U13">
        <v>4.220819632433364E-2</v>
      </c>
      <c r="V13">
        <v>7.5397142890709798E-2</v>
      </c>
      <c r="W13">
        <v>9.6763999999999997E-4</v>
      </c>
      <c r="X13">
        <v>7.0000000000000001E-3</v>
      </c>
      <c r="Y13">
        <v>4.1126000000000003E-2</v>
      </c>
      <c r="Z13">
        <v>0.38535000000000003</v>
      </c>
      <c r="AA13">
        <v>0.21107999999999999</v>
      </c>
      <c r="AB13">
        <f>1-Z13-AA13</f>
        <v>0.40356999999999993</v>
      </c>
      <c r="AC13">
        <v>2.7647000000000001E-2</v>
      </c>
      <c r="AD13" t="s">
        <v>39</v>
      </c>
    </row>
    <row r="14" spans="1:30" x14ac:dyDescent="0.2">
      <c r="A14" t="s">
        <v>42</v>
      </c>
      <c r="B14" t="s">
        <v>43</v>
      </c>
      <c r="C14" t="s">
        <v>27</v>
      </c>
      <c r="D14">
        <v>0.7</v>
      </c>
      <c r="E14">
        <v>4</v>
      </c>
      <c r="F14">
        <v>0</v>
      </c>
      <c r="G14">
        <v>2</v>
      </c>
      <c r="H14">
        <v>3</v>
      </c>
      <c r="I14">
        <v>3</v>
      </c>
      <c r="J14">
        <v>1</v>
      </c>
      <c r="K14">
        <v>0.01</v>
      </c>
      <c r="L14">
        <v>0.1</v>
      </c>
      <c r="M14">
        <v>1E-4</v>
      </c>
      <c r="N14">
        <v>7.0000000000000001E-3</v>
      </c>
      <c r="O14">
        <v>1E-4</v>
      </c>
      <c r="P14">
        <v>7.0000000000000001E-3</v>
      </c>
      <c r="Q14">
        <v>2.0332681561592209E-3</v>
      </c>
      <c r="R14">
        <v>4.784231928477458E-3</v>
      </c>
      <c r="S14">
        <v>1.5511289217590091E-2</v>
      </c>
      <c r="T14">
        <v>2.3322552018644208E-2</v>
      </c>
      <c r="U14">
        <v>4.220819632433364E-2</v>
      </c>
      <c r="V14">
        <v>7.5397142890709798E-2</v>
      </c>
      <c r="W14">
        <v>5.4980000000000003E-3</v>
      </c>
      <c r="X14">
        <v>5.8211000000000005E-4</v>
      </c>
      <c r="Y14">
        <v>3.8526999999999999E-2</v>
      </c>
      <c r="Z14">
        <v>0.44119999999999998</v>
      </c>
      <c r="AA14">
        <v>0.23963999999999999</v>
      </c>
      <c r="AB14">
        <f>1-Z14-AA14</f>
        <v>0.31916</v>
      </c>
      <c r="AC14">
        <v>2.7892E-2</v>
      </c>
      <c r="AD14" t="s">
        <v>39</v>
      </c>
    </row>
    <row r="15" spans="1:30" x14ac:dyDescent="0.2">
      <c r="A15" t="s">
        <v>42</v>
      </c>
      <c r="B15" t="s">
        <v>43</v>
      </c>
      <c r="C15" t="s">
        <v>27</v>
      </c>
      <c r="D15">
        <v>0.7</v>
      </c>
      <c r="E15">
        <v>7</v>
      </c>
      <c r="F15">
        <v>0</v>
      </c>
      <c r="G15">
        <v>2</v>
      </c>
      <c r="H15">
        <v>3</v>
      </c>
      <c r="I15">
        <v>3</v>
      </c>
      <c r="J15">
        <v>1</v>
      </c>
      <c r="K15">
        <v>0.01</v>
      </c>
      <c r="L15">
        <v>0.1</v>
      </c>
      <c r="M15">
        <v>1E-4</v>
      </c>
      <c r="N15">
        <v>7.0000000000000001E-3</v>
      </c>
      <c r="O15">
        <v>1E-4</v>
      </c>
      <c r="P15">
        <v>7.0000000000000001E-3</v>
      </c>
      <c r="Q15">
        <v>2.0332681561592209E-3</v>
      </c>
      <c r="R15">
        <v>4.784231928477458E-3</v>
      </c>
      <c r="S15">
        <v>1.5511289217590091E-2</v>
      </c>
      <c r="T15">
        <v>2.3322552018644208E-2</v>
      </c>
      <c r="U15">
        <v>4.220819632433364E-2</v>
      </c>
      <c r="V15">
        <v>7.5397142890709798E-2</v>
      </c>
    </row>
    <row r="17" spans="1:30" x14ac:dyDescent="0.2">
      <c r="A17" t="s">
        <v>42</v>
      </c>
      <c r="B17" t="s">
        <v>43</v>
      </c>
      <c r="C17" t="s">
        <v>29</v>
      </c>
      <c r="D17">
        <v>0.7</v>
      </c>
      <c r="E17">
        <v>7</v>
      </c>
      <c r="F17">
        <v>0</v>
      </c>
      <c r="G17">
        <v>2</v>
      </c>
      <c r="H17">
        <v>2</v>
      </c>
      <c r="I17">
        <v>3</v>
      </c>
      <c r="J17">
        <v>1</v>
      </c>
      <c r="K17">
        <v>0.01</v>
      </c>
      <c r="L17">
        <v>0.1</v>
      </c>
      <c r="M17" t="s">
        <v>40</v>
      </c>
      <c r="N17" t="s">
        <v>40</v>
      </c>
      <c r="O17">
        <v>1E-4</v>
      </c>
      <c r="P17">
        <v>7.0000000000000001E-3</v>
      </c>
      <c r="Q17">
        <v>2.0332681561592209E-3</v>
      </c>
      <c r="R17">
        <v>4.784231928477458E-3</v>
      </c>
      <c r="S17">
        <v>1.5511289217590091E-2</v>
      </c>
      <c r="T17">
        <v>2.3322552018644208E-2</v>
      </c>
      <c r="U17">
        <v>4.220819632433364E-2</v>
      </c>
      <c r="V17">
        <v>7.5397142890709798E-2</v>
      </c>
      <c r="W17">
        <v>1.0785E-3</v>
      </c>
      <c r="X17" t="s">
        <v>40</v>
      </c>
      <c r="Y17">
        <v>0.01</v>
      </c>
      <c r="Z17">
        <v>0.97797000000000001</v>
      </c>
      <c r="AA17">
        <f>1-Z17</f>
        <v>2.2029999999999994E-2</v>
      </c>
      <c r="AB17" t="s">
        <v>40</v>
      </c>
      <c r="AC17">
        <v>2.4008999999999999E-2</v>
      </c>
      <c r="AD17" t="s">
        <v>39</v>
      </c>
    </row>
    <row r="18" spans="1:30" x14ac:dyDescent="0.2">
      <c r="A18" t="s">
        <v>42</v>
      </c>
      <c r="B18" t="s">
        <v>43</v>
      </c>
      <c r="C18" t="s">
        <v>29</v>
      </c>
      <c r="D18">
        <v>0.7</v>
      </c>
      <c r="E18">
        <v>7</v>
      </c>
      <c r="F18">
        <v>0</v>
      </c>
      <c r="G18">
        <v>1</v>
      </c>
      <c r="H18">
        <v>2</v>
      </c>
      <c r="I18">
        <v>3</v>
      </c>
      <c r="J18">
        <v>1</v>
      </c>
      <c r="K18">
        <v>0.01</v>
      </c>
      <c r="L18">
        <v>0.1</v>
      </c>
      <c r="M18" t="s">
        <v>40</v>
      </c>
      <c r="N18" t="s">
        <v>40</v>
      </c>
      <c r="O18">
        <v>1E-4</v>
      </c>
      <c r="P18">
        <v>7.0000000000000001E-3</v>
      </c>
      <c r="Q18">
        <v>2.0332681561592209E-3</v>
      </c>
      <c r="R18">
        <v>4.784231928477458E-3</v>
      </c>
      <c r="S18">
        <v>1.5511289217590091E-2</v>
      </c>
      <c r="T18">
        <v>2.3322552018644208E-2</v>
      </c>
      <c r="U18">
        <v>4.220819632433364E-2</v>
      </c>
      <c r="V18">
        <v>7.5397142890709798E-2</v>
      </c>
      <c r="W18">
        <v>1.1712000000000001E-3</v>
      </c>
      <c r="X18" t="s">
        <v>40</v>
      </c>
      <c r="Y18">
        <v>0.01</v>
      </c>
      <c r="Z18">
        <v>0.94584999999999997</v>
      </c>
      <c r="AA18">
        <f>1-Z18</f>
        <v>5.4150000000000031E-2</v>
      </c>
      <c r="AB18" t="s">
        <v>40</v>
      </c>
      <c r="AC18">
        <v>2.2987E-2</v>
      </c>
      <c r="AD18" t="s">
        <v>39</v>
      </c>
    </row>
    <row r="20" spans="1:30" s="4" customFormat="1" x14ac:dyDescent="0.2">
      <c r="A20" s="4" t="s">
        <v>42</v>
      </c>
      <c r="B20" s="4" t="s">
        <v>43</v>
      </c>
      <c r="C20" s="4" t="s">
        <v>29</v>
      </c>
      <c r="D20" s="4">
        <v>0.7</v>
      </c>
      <c r="E20" s="4">
        <v>3</v>
      </c>
      <c r="F20" s="4">
        <v>0</v>
      </c>
      <c r="G20" s="4">
        <v>2</v>
      </c>
      <c r="H20" s="4">
        <v>2</v>
      </c>
      <c r="I20" s="4">
        <v>3</v>
      </c>
      <c r="J20" s="4">
        <v>1</v>
      </c>
      <c r="K20" s="4">
        <v>0.05</v>
      </c>
      <c r="L20" s="4">
        <v>0.1</v>
      </c>
      <c r="M20" s="4" t="s">
        <v>40</v>
      </c>
      <c r="N20" s="4" t="s">
        <v>40</v>
      </c>
      <c r="O20" s="4">
        <v>1E-4</v>
      </c>
      <c r="P20" s="4">
        <v>0.05</v>
      </c>
      <c r="Q20" s="4">
        <v>2.0332681561592209E-3</v>
      </c>
      <c r="R20" s="4">
        <v>4.784231928477458E-3</v>
      </c>
      <c r="S20" s="4">
        <v>1.5511289217590091E-2</v>
      </c>
      <c r="T20" s="4">
        <v>2.3322552018644208E-2</v>
      </c>
      <c r="U20" s="4">
        <v>4.220819632433364E-2</v>
      </c>
      <c r="V20" s="4">
        <v>7.5397142890709798E-2</v>
      </c>
      <c r="W20" s="4">
        <v>1.7811999999999999E-3</v>
      </c>
      <c r="X20" s="4" t="s">
        <v>40</v>
      </c>
      <c r="Y20" s="4">
        <v>0.05</v>
      </c>
      <c r="Z20" s="4">
        <v>0.99421999999999999</v>
      </c>
      <c r="AA20" s="4">
        <f>1-Z20</f>
        <v>5.7800000000000074E-3</v>
      </c>
      <c r="AB20" s="4" t="s">
        <v>40</v>
      </c>
      <c r="AC20" s="4">
        <v>2.0271999999999998E-2</v>
      </c>
      <c r="AD20" s="4" t="s">
        <v>39</v>
      </c>
    </row>
    <row r="21" spans="1:30" s="4" customFormat="1" x14ac:dyDescent="0.2">
      <c r="A21" s="4" t="s">
        <v>42</v>
      </c>
      <c r="B21" s="4" t="s">
        <v>43</v>
      </c>
      <c r="C21" s="4" t="s">
        <v>37</v>
      </c>
      <c r="D21" s="4">
        <v>0.7</v>
      </c>
      <c r="E21" s="4">
        <v>3</v>
      </c>
      <c r="F21" s="4">
        <v>0</v>
      </c>
      <c r="G21" s="4">
        <v>2</v>
      </c>
      <c r="H21" s="4">
        <v>2</v>
      </c>
      <c r="I21" s="4">
        <v>3</v>
      </c>
      <c r="J21" s="4">
        <v>1</v>
      </c>
      <c r="K21" s="4">
        <v>0.05</v>
      </c>
      <c r="L21" s="4">
        <v>0.1</v>
      </c>
      <c r="M21" s="4" t="s">
        <v>40</v>
      </c>
      <c r="N21" s="4" t="s">
        <v>40</v>
      </c>
      <c r="O21" s="4">
        <v>1E-4</v>
      </c>
      <c r="P21" s="4">
        <v>0.05</v>
      </c>
      <c r="Q21" s="4">
        <v>2.0332681561592209E-3</v>
      </c>
      <c r="R21" s="4">
        <v>4.784231928477458E-3</v>
      </c>
      <c r="S21" s="4">
        <v>1.5511289217590091E-2</v>
      </c>
      <c r="T21" s="4">
        <v>2.3322552018644208E-2</v>
      </c>
      <c r="U21" s="4">
        <v>4.220819632433364E-2</v>
      </c>
      <c r="V21" s="4">
        <v>7.5397142890709798E-2</v>
      </c>
      <c r="W21" s="4">
        <v>5.3737000000000004E-3</v>
      </c>
      <c r="X21" s="4" t="s">
        <v>40</v>
      </c>
      <c r="Y21" s="4">
        <v>0.05</v>
      </c>
      <c r="Z21" s="4">
        <v>0.97990999999999995</v>
      </c>
      <c r="AA21" s="4">
        <f>1-Z21</f>
        <v>2.0090000000000052E-2</v>
      </c>
      <c r="AB21" s="4" t="s">
        <v>40</v>
      </c>
      <c r="AC21" s="4">
        <v>4.2892E-2</v>
      </c>
      <c r="AD21" s="4" t="s">
        <v>39</v>
      </c>
    </row>
    <row r="22" spans="1:30" x14ac:dyDescent="0.2">
      <c r="A22" t="s">
        <v>42</v>
      </c>
      <c r="B22" t="s">
        <v>43</v>
      </c>
      <c r="C22" t="s">
        <v>37</v>
      </c>
      <c r="D22">
        <v>0.7</v>
      </c>
      <c r="E22">
        <v>5</v>
      </c>
      <c r="F22">
        <v>0</v>
      </c>
      <c r="G22">
        <v>2</v>
      </c>
      <c r="H22">
        <v>2</v>
      </c>
      <c r="I22">
        <v>3</v>
      </c>
      <c r="J22">
        <v>1</v>
      </c>
      <c r="K22">
        <v>0.05</v>
      </c>
      <c r="L22">
        <v>0.1</v>
      </c>
      <c r="M22" t="s">
        <v>40</v>
      </c>
      <c r="N22" t="s">
        <v>40</v>
      </c>
      <c r="O22">
        <v>1E-4</v>
      </c>
      <c r="P22">
        <v>0.05</v>
      </c>
      <c r="Q22">
        <v>2.0332681561592209E-3</v>
      </c>
      <c r="R22">
        <v>4.784231928477458E-3</v>
      </c>
      <c r="S22">
        <v>1.5511289217590091E-2</v>
      </c>
      <c r="T22">
        <v>2.3322552018644208E-2</v>
      </c>
      <c r="U22">
        <v>4.220819632433364E-2</v>
      </c>
      <c r="V22">
        <v>7.5397142890709798E-2</v>
      </c>
      <c r="W22">
        <v>4.0244E-3</v>
      </c>
      <c r="X22" t="s">
        <v>40</v>
      </c>
      <c r="Y22">
        <v>0.05</v>
      </c>
      <c r="Z22">
        <v>0.98775000000000002</v>
      </c>
      <c r="AA22">
        <f>1-Z22</f>
        <v>1.2249999999999983E-2</v>
      </c>
      <c r="AB22" t="s">
        <v>40</v>
      </c>
      <c r="AC22">
        <v>4.6965E-2</v>
      </c>
      <c r="AD22" t="s">
        <v>39</v>
      </c>
    </row>
    <row r="23" spans="1:30" x14ac:dyDescent="0.2">
      <c r="A23" t="s">
        <v>42</v>
      </c>
      <c r="B23" t="s">
        <v>43</v>
      </c>
      <c r="C23" t="s">
        <v>29</v>
      </c>
      <c r="D23">
        <v>0.7</v>
      </c>
      <c r="E23">
        <v>5</v>
      </c>
      <c r="F23">
        <v>0</v>
      </c>
      <c r="G23">
        <v>2</v>
      </c>
      <c r="H23">
        <v>2</v>
      </c>
      <c r="I23">
        <v>3</v>
      </c>
      <c r="J23">
        <v>1</v>
      </c>
      <c r="K23">
        <v>0.05</v>
      </c>
      <c r="L23">
        <v>0.1</v>
      </c>
      <c r="M23" t="s">
        <v>40</v>
      </c>
      <c r="N23" t="s">
        <v>40</v>
      </c>
      <c r="O23">
        <v>1E-4</v>
      </c>
      <c r="P23">
        <v>0.05</v>
      </c>
      <c r="Q23">
        <v>2.0332681561592209E-3</v>
      </c>
      <c r="R23">
        <v>4.784231928477458E-3</v>
      </c>
      <c r="S23">
        <v>1.5511289217590091E-2</v>
      </c>
      <c r="T23">
        <v>2.3322552018644208E-2</v>
      </c>
      <c r="U23">
        <v>4.220819632433364E-2</v>
      </c>
      <c r="V23">
        <v>7.5397142890709798E-2</v>
      </c>
      <c r="W23">
        <v>1.2329999999999999E-3</v>
      </c>
      <c r="X23" t="s">
        <v>40</v>
      </c>
      <c r="Y23">
        <v>0.05</v>
      </c>
      <c r="Z23">
        <v>0.99475000000000002</v>
      </c>
      <c r="AA23">
        <f>1-Z23</f>
        <v>5.2499999999999769E-3</v>
      </c>
      <c r="AB23" t="s">
        <v>40</v>
      </c>
      <c r="AC23">
        <v>2.3387999999999999E-2</v>
      </c>
      <c r="AD23" t="s">
        <v>39</v>
      </c>
    </row>
  </sheetData>
  <mergeCells count="7">
    <mergeCell ref="K1:L1"/>
    <mergeCell ref="M1:N1"/>
    <mergeCell ref="O1:P1"/>
    <mergeCell ref="Q1:S1"/>
    <mergeCell ref="W1:Y1"/>
    <mergeCell ref="Z1:AB1"/>
    <mergeCell ref="T1:V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3617_pHalo-H2B_unt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2022-12-29T22:54:42Z</dcterms:created>
  <dcterms:modified xsi:type="dcterms:W3CDTF">2023-01-02T01:00:13Z</dcterms:modified>
</cp:coreProperties>
</file>